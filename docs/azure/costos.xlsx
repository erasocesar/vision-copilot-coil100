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uestos" sheetId="1" state="visible" r:id="rId1"/>
    <sheet name="Precios" sheetId="2" state="visible" r:id="rId2"/>
    <sheet name="Costos_Azure" sheetId="3" state="visible" r:id="rId3"/>
    <sheet name="Comparativ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1F4FD8"/>
    </font>
  </fonts>
  <fills count="3">
    <fill>
      <patternFill/>
    </fill>
    <fill>
      <patternFill patternType="gray125"/>
    </fill>
    <fill>
      <patternFill patternType="solid">
        <fgColor rgb="00E8E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70" customWidth="1" min="5" max="5"/>
  </cols>
  <sheetData>
    <row r="1">
      <c r="A1" s="1" t="inlineStr">
        <is>
          <t>Clave</t>
        </is>
      </c>
      <c r="B1" s="1" t="inlineStr">
        <is>
          <t>Supuesto</t>
        </is>
      </c>
      <c r="C1" s="1" t="inlineStr">
        <is>
          <t>Valor</t>
        </is>
      </c>
      <c r="D1" s="1" t="inlineStr">
        <is>
          <t>Unidad</t>
        </is>
      </c>
      <c r="E1" s="1" t="inlineStr">
        <is>
          <t>Origen</t>
        </is>
      </c>
    </row>
    <row r="2">
      <c r="A2" s="2" t="inlineStr">
        <is>
          <t>estaciones</t>
        </is>
      </c>
      <c r="B2" s="2" t="inlineStr">
        <is>
          <t>Estaciones de alineación</t>
        </is>
      </c>
      <c r="C2" s="3" t="n">
        <v>1</v>
      </c>
      <c r="D2" s="2" t="inlineStr">
        <is>
          <t>estaciones</t>
        </is>
      </c>
      <c r="E2" s="2" t="inlineStr">
        <is>
          <t>Enunciado: 1 operario por turno por estación</t>
        </is>
      </c>
    </row>
    <row r="3">
      <c r="A3" s="2" t="inlineStr">
        <is>
          <t>piezas_min</t>
        </is>
      </c>
      <c r="B3" s="2" t="inlineStr">
        <is>
          <t>Piezas por minuto por estación</t>
        </is>
      </c>
      <c r="C3" s="3" t="n">
        <v>20</v>
      </c>
      <c r="D3" s="2" t="inlineStr">
        <is>
          <t>piezas/min</t>
        </is>
      </c>
      <c r="E3" s="2" t="inlineStr">
        <is>
          <t>Supuesto</t>
        </is>
      </c>
    </row>
    <row r="4">
      <c r="A4" s="2" t="inlineStr">
        <is>
          <t>horas_semana</t>
        </is>
      </c>
      <c r="B4" s="2" t="inlineStr">
        <is>
          <t>Horas de operación por semana</t>
        </is>
      </c>
      <c r="C4" s="3" t="n">
        <v>120</v>
      </c>
      <c r="D4" s="2" t="inlineStr">
        <is>
          <t>h</t>
        </is>
      </c>
      <c r="E4" s="2" t="inlineStr">
        <is>
          <t>Enunciado: 24 h x 5 días</t>
        </is>
      </c>
    </row>
    <row r="5">
      <c r="A5" s="2" t="inlineStr">
        <is>
          <t>semanas_mes</t>
        </is>
      </c>
      <c r="B5" s="2" t="inlineStr">
        <is>
          <t>Semanas por mes</t>
        </is>
      </c>
      <c r="C5" s="3" t="n">
        <v>4.33</v>
      </c>
      <c r="D5" s="2" t="inlineStr"/>
      <c r="E5" s="2" t="inlineStr">
        <is>
          <t>Calendario</t>
        </is>
      </c>
    </row>
    <row r="6">
      <c r="A6" s="2" t="inlineStr">
        <is>
          <t>kb_imagen</t>
        </is>
      </c>
      <c r="B6" s="2" t="inlineStr">
        <is>
          <t>Tamaño medio de imagen guardada</t>
        </is>
      </c>
      <c r="C6" s="3" t="n">
        <v>30</v>
      </c>
      <c r="D6" s="2" t="inlineStr">
        <is>
          <t>KB</t>
        </is>
      </c>
      <c r="E6" s="2" t="inlineStr">
        <is>
          <t>Supuesto (COIL-100 PNG ~15 KB)</t>
        </is>
      </c>
    </row>
    <row r="7">
      <c r="A7" s="2" t="inlineStr">
        <is>
          <t>meses_caliente</t>
        </is>
      </c>
      <c r="B7" s="2" t="inlineStr">
        <is>
          <t>Meses de imágenes en nivel caliente</t>
        </is>
      </c>
      <c r="C7" s="3" t="n">
        <v>3</v>
      </c>
      <c r="D7" s="2" t="inlineStr">
        <is>
          <t>meses</t>
        </is>
      </c>
      <c r="E7" s="2" t="inlineStr">
        <is>
          <t>Diseño: 90 días</t>
        </is>
      </c>
    </row>
    <row r="8">
      <c r="A8" s="2" t="inlineStr">
        <is>
          <t>tasa_desvio</t>
        </is>
      </c>
      <c r="B8" s="2" t="inlineStr">
        <is>
          <t>Fracción de piezas desviadas a revisión</t>
        </is>
      </c>
      <c r="C8" s="3" t="n">
        <v>0.1</v>
      </c>
      <c r="D8" s="2" t="inlineStr"/>
      <c r="E8" s="2" t="inlineStr">
        <is>
          <t>Supuesto; ver reporte de visión</t>
        </is>
      </c>
    </row>
    <row r="9">
      <c r="A9" s="2" t="inlineStr">
        <is>
          <t>seg_revision</t>
        </is>
      </c>
      <c r="B9" s="2" t="inlineStr">
        <is>
          <t>Segundos por revisión manual</t>
        </is>
      </c>
      <c r="C9" s="3" t="n">
        <v>10</v>
      </c>
      <c r="D9" s="2" t="inlineStr">
        <is>
          <t>s</t>
        </is>
      </c>
      <c r="E9" s="2" t="inlineStr">
        <is>
          <t>Supuesto</t>
        </is>
      </c>
    </row>
    <row r="10">
      <c r="A10" s="2" t="inlineStr">
        <is>
          <t>consultas_dia</t>
        </is>
      </c>
      <c r="B10" s="2" t="inlineStr">
        <is>
          <t>Consultas al asistente por día</t>
        </is>
      </c>
      <c r="C10" s="3" t="n">
        <v>200</v>
      </c>
      <c r="D10" s="2" t="inlineStr">
        <is>
          <t>consultas</t>
        </is>
      </c>
      <c r="E10" s="2" t="inlineStr">
        <is>
          <t>Supuesto</t>
        </is>
      </c>
    </row>
    <row r="11">
      <c r="A11" s="2" t="inlineStr">
        <is>
          <t>tok_in</t>
        </is>
      </c>
      <c r="B11" s="2" t="inlineStr">
        <is>
          <t>Tokens de entrada por consulta</t>
        </is>
      </c>
      <c r="C11" s="3" t="n">
        <v>6000</v>
      </c>
      <c r="D11" s="2" t="inlineStr">
        <is>
          <t>tokens</t>
        </is>
      </c>
      <c r="E11" s="2" t="inlineStr">
        <is>
          <t>Medido en la evaluación del agente (ajustar)</t>
        </is>
      </c>
    </row>
    <row r="12">
      <c r="A12" s="2" t="inlineStr">
        <is>
          <t>tok_out</t>
        </is>
      </c>
      <c r="B12" s="2" t="inlineStr">
        <is>
          <t>Tokens de salida por consulta</t>
        </is>
      </c>
      <c r="C12" s="3" t="n">
        <v>400</v>
      </c>
      <c r="D12" s="2" t="inlineStr">
        <is>
          <t>tokens</t>
        </is>
      </c>
      <c r="E12" s="2" t="inlineStr">
        <is>
          <t>Medido en la evaluación del agente (ajustar)</t>
        </is>
      </c>
    </row>
    <row r="13">
      <c r="A13" s="2" t="inlineStr">
        <is>
          <t>frac_cache</t>
        </is>
      </c>
      <c r="B13" s="2" t="inlineStr">
        <is>
          <t>Fracción de entrada servida desde caché</t>
        </is>
      </c>
      <c r="C13" s="3" t="n">
        <v>0.5</v>
      </c>
      <c r="D13" s="2" t="inlineStr"/>
      <c r="E13" s="2" t="inlineStr">
        <is>
          <t>Supuesto</t>
        </is>
      </c>
    </row>
    <row r="14">
      <c r="A14" s="2" t="inlineStr">
        <is>
          <t>pg_storage_gb</t>
        </is>
      </c>
      <c r="B14" s="2" t="inlineStr">
        <is>
          <t>Almacenamiento PostgreSQL</t>
        </is>
      </c>
      <c r="C14" s="3" t="n">
        <v>32</v>
      </c>
      <c r="D14" s="2" t="inlineStr">
        <is>
          <t>GB</t>
        </is>
      </c>
      <c r="E14" s="2" t="inlineStr">
        <is>
          <t>Supuesto</t>
        </is>
      </c>
    </row>
    <row r="15">
      <c r="A15" s="2" t="inlineStr">
        <is>
          <t>logs_gb</t>
        </is>
      </c>
      <c r="B15" s="2" t="inlineStr">
        <is>
          <t>Ingesta de logs por mes</t>
        </is>
      </c>
      <c r="C15" s="3" t="n">
        <v>5</v>
      </c>
      <c r="D15" s="2" t="inlineStr">
        <is>
          <t>GB</t>
        </is>
      </c>
      <c r="E15" s="2" t="inlineStr">
        <is>
          <t>Supuesto</t>
        </is>
      </c>
    </row>
    <row r="16">
      <c r="A16" s="2" t="inlineStr">
        <is>
          <t>horas_entreno</t>
        </is>
      </c>
      <c r="B16" s="2" t="inlineStr">
        <is>
          <t>Horas de entrenamiento al mes (D4s v5)</t>
        </is>
      </c>
      <c r="C16" s="3" t="n">
        <v>10</v>
      </c>
      <c r="D16" s="2" t="inlineStr">
        <is>
          <t>h</t>
        </is>
      </c>
      <c r="E16" s="2" t="inlineStr">
        <is>
          <t>Supuesto</t>
        </is>
      </c>
    </row>
    <row r="17">
      <c r="A17" s="2" t="inlineStr">
        <is>
          <t>vcpu_agente</t>
        </is>
      </c>
      <c r="B17" s="2" t="inlineStr">
        <is>
          <t>vCPU del agente (Container Apps)</t>
        </is>
      </c>
      <c r="C17" s="3" t="n">
        <v>1</v>
      </c>
      <c r="D17" s="2" t="inlineStr">
        <is>
          <t>vCPU</t>
        </is>
      </c>
      <c r="E17" s="2" t="inlineStr">
        <is>
          <t>Diseño</t>
        </is>
      </c>
    </row>
    <row r="18">
      <c r="A18" s="2" t="inlineStr">
        <is>
          <t>gib_agente</t>
        </is>
      </c>
      <c r="B18" s="2" t="inlineStr">
        <is>
          <t>Memoria del agente (Container Apps)</t>
        </is>
      </c>
      <c r="C18" s="3" t="n">
        <v>2</v>
      </c>
      <c r="D18" s="2" t="inlineStr">
        <is>
          <t>GiB</t>
        </is>
      </c>
      <c r="E18" s="2" t="inlineStr">
        <is>
          <t>Diseño</t>
        </is>
      </c>
    </row>
    <row r="19">
      <c r="A19" s="2" t="inlineStr">
        <is>
          <t>operarios</t>
        </is>
      </c>
      <c r="B19" s="2" t="inlineStr">
        <is>
          <t>Operarios por estación (3 turnos)</t>
        </is>
      </c>
      <c r="C19" s="3" t="n">
        <v>3</v>
      </c>
      <c r="D19" s="2" t="inlineStr">
        <is>
          <t>personas</t>
        </is>
      </c>
      <c r="E19" s="2" t="inlineStr">
        <is>
          <t>Enunciado</t>
        </is>
      </c>
    </row>
    <row r="20">
      <c r="A20" s="2" t="inlineStr">
        <is>
          <t>coste_operario</t>
        </is>
      </c>
      <c r="B20" s="2" t="inlineStr">
        <is>
          <t>Coste anual cargado por operario</t>
        </is>
      </c>
      <c r="C20" s="3" t="n">
        <v>30000</v>
      </c>
      <c r="D20" s="2" t="inlineStr">
        <is>
          <t>EUR/año</t>
        </is>
      </c>
      <c r="E20" s="2" t="inlineStr">
        <is>
          <t>Supuesto, ajustar al país</t>
        </is>
      </c>
    </row>
    <row r="21">
      <c r="A21" s="2" t="inlineStr">
        <is>
          <t>horas_fte_mes</t>
        </is>
      </c>
      <c r="B21" s="2" t="inlineStr">
        <is>
          <t>Horas laborales por persona y mes</t>
        </is>
      </c>
      <c r="C21" s="3" t="n">
        <v>160</v>
      </c>
      <c r="D21" s="2" t="inlineStr">
        <is>
          <t>h</t>
        </is>
      </c>
      <c r="E21" s="2" t="inlineStr">
        <is>
          <t>Supuesto</t>
        </is>
      </c>
    </row>
    <row r="22">
      <c r="A22" s="2" t="inlineStr">
        <is>
          <t>pc_edge</t>
        </is>
      </c>
      <c r="B22" s="2" t="inlineStr">
        <is>
          <t>PC industrial por estación (edge)</t>
        </is>
      </c>
      <c r="C22" s="3" t="n">
        <v>2000</v>
      </c>
      <c r="D22" s="2" t="inlineStr">
        <is>
          <t>EUR</t>
        </is>
      </c>
      <c r="E22" s="2" t="inlineStr">
        <is>
          <t>Supuesto</t>
        </is>
      </c>
    </row>
    <row r="23">
      <c r="A23" s="2" t="inlineStr">
        <is>
          <t>amort_meses</t>
        </is>
      </c>
      <c r="B23" s="2" t="inlineStr">
        <is>
          <t>Amortización del PC edge</t>
        </is>
      </c>
      <c r="C23" s="3" t="n">
        <v>36</v>
      </c>
      <c r="D23" s="2" t="inlineStr">
        <is>
          <t>meses</t>
        </is>
      </c>
      <c r="E23" s="2" t="inlineStr">
        <is>
          <t>Supuesto</t>
        </is>
      </c>
    </row>
    <row r="24">
      <c r="A24" s="2" t="inlineStr">
        <is>
          <t>capex_proyecto</t>
        </is>
      </c>
      <c r="B24" s="2" t="inlineStr">
        <is>
          <t>Coste de implantación del proyecto</t>
        </is>
      </c>
      <c r="C24" s="3" t="n">
        <v>40000</v>
      </c>
      <c r="D24" s="2" t="inlineStr">
        <is>
          <t>EUR</t>
        </is>
      </c>
      <c r="E24" s="2" t="inlineStr">
        <is>
          <t>Supuesto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70" customWidth="1" min="5" max="5"/>
  </cols>
  <sheetData>
    <row r="1">
      <c r="A1" s="1" t="inlineStr">
        <is>
          <t>Clave</t>
        </is>
      </c>
      <c r="B1" s="1" t="inlineStr">
        <is>
          <t>Concepto</t>
        </is>
      </c>
      <c r="C1" s="1" t="inlineStr">
        <is>
          <t>Precio</t>
        </is>
      </c>
      <c r="D1" s="1" t="inlineStr">
        <is>
          <t>Unidad</t>
        </is>
      </c>
      <c r="E1" s="1" t="inlineStr">
        <is>
          <t>Región / nota</t>
        </is>
      </c>
    </row>
    <row r="2">
      <c r="A2" s="2" t="inlineStr">
        <is>
          <t>p_iothub_s1</t>
        </is>
      </c>
      <c r="B2" s="2" t="inlineStr">
        <is>
          <t>IoT Hub S1</t>
        </is>
      </c>
      <c r="C2" s="2" t="n">
        <v>21.9993</v>
      </c>
      <c r="D2" s="2" t="inlineStr">
        <is>
          <t>EUR/unidad-mes</t>
        </is>
      </c>
      <c r="E2" s="2" t="inlineStr">
        <is>
          <t>westeurope</t>
        </is>
      </c>
    </row>
    <row r="3">
      <c r="A3" s="2" t="inlineStr">
        <is>
          <t>p_ca_vcpu</t>
        </is>
      </c>
      <c r="B3" s="2" t="inlineStr">
        <is>
          <t>Container Apps Dedicated vCPU</t>
        </is>
      </c>
      <c r="C3" s="2" t="n">
        <v>0.0712</v>
      </c>
      <c r="D3" s="2" t="inlineStr">
        <is>
          <t>EUR/vCPU-h</t>
        </is>
      </c>
      <c r="E3" s="2" t="inlineStr">
        <is>
          <t>westeurope (cota superior; Consumption tiene tramo gratuito)</t>
        </is>
      </c>
    </row>
    <row r="4">
      <c r="A4" s="2" t="inlineStr">
        <is>
          <t>p_ca_mem</t>
        </is>
      </c>
      <c r="B4" s="2" t="inlineStr">
        <is>
          <t>Container Apps Dedicated memoria</t>
        </is>
      </c>
      <c r="C4" s="2" t="n">
        <v>0.0058</v>
      </c>
      <c r="D4" s="2" t="inlineStr">
        <is>
          <t>EUR/GiB-h</t>
        </is>
      </c>
      <c r="E4" s="2" t="inlineStr">
        <is>
          <t>westeurope</t>
        </is>
      </c>
    </row>
    <row r="5">
      <c r="A5" s="2" t="inlineStr">
        <is>
          <t>p_ca_plan</t>
        </is>
      </c>
      <c r="B5" s="2" t="inlineStr">
        <is>
          <t>Container Apps Dedicated gestión del plan</t>
        </is>
      </c>
      <c r="C5" s="2" t="n">
        <v>0.08799999999999999</v>
      </c>
      <c r="D5" s="2" t="inlineStr">
        <is>
          <t>EUR/h</t>
        </is>
      </c>
      <c r="E5" s="2" t="inlineStr">
        <is>
          <t>westeurope</t>
        </is>
      </c>
    </row>
    <row r="6">
      <c r="A6" s="2" t="inlineStr">
        <is>
          <t>p_aoai_in</t>
        </is>
      </c>
      <c r="B6" s="2" t="inlineStr">
        <is>
          <t>Azure OpenAI gpt-4.1-mini entrada (Data Zone)</t>
        </is>
      </c>
      <c r="C6" s="2" t="n">
        <v>0.0004</v>
      </c>
      <c r="D6" s="2" t="inlineStr">
        <is>
          <t>EUR/1K tokens</t>
        </is>
      </c>
      <c r="E6" s="2" t="inlineStr">
        <is>
          <t>swedencentral</t>
        </is>
      </c>
    </row>
    <row r="7">
      <c r="A7" s="2" t="inlineStr">
        <is>
          <t>p_aoai_cached</t>
        </is>
      </c>
      <c r="B7" s="2" t="inlineStr">
        <is>
          <t>Azure OpenAI gpt-4.1-mini entrada en caché</t>
        </is>
      </c>
      <c r="C7" s="2" t="n">
        <v>0.0001</v>
      </c>
      <c r="D7" s="2" t="inlineStr">
        <is>
          <t>EUR/1K tokens</t>
        </is>
      </c>
      <c r="E7" s="2" t="inlineStr">
        <is>
          <t>swedencentral</t>
        </is>
      </c>
    </row>
    <row r="8">
      <c r="A8" s="2" t="inlineStr">
        <is>
          <t>p_aoai_out</t>
        </is>
      </c>
      <c r="B8" s="2" t="inlineStr">
        <is>
          <t>Azure OpenAI gpt-4.1-mini salida (Data Zone)</t>
        </is>
      </c>
      <c r="C8" s="2" t="n">
        <v>0.0015</v>
      </c>
      <c r="D8" s="2" t="inlineStr">
        <is>
          <t>EUR/1K tokens</t>
        </is>
      </c>
      <c r="E8" s="2" t="inlineStr">
        <is>
          <t>swedencentral</t>
        </is>
      </c>
    </row>
    <row r="9">
      <c r="A9" s="2" t="inlineStr">
        <is>
          <t>p_pg_b1ms</t>
        </is>
      </c>
      <c r="B9" s="2" t="inlineStr">
        <is>
          <t>PostgreSQL Flexible B1MS</t>
        </is>
      </c>
      <c r="C9" s="2" t="n">
        <v>0.0175</v>
      </c>
      <c r="D9" s="2" t="inlineStr">
        <is>
          <t>EUR/h</t>
        </is>
      </c>
      <c r="E9" s="2" t="inlineStr">
        <is>
          <t>westeurope</t>
        </is>
      </c>
    </row>
    <row r="10">
      <c r="A10" s="2" t="inlineStr">
        <is>
          <t>p_pg_storage</t>
        </is>
      </c>
      <c r="B10" s="2" t="inlineStr">
        <is>
          <t>PostgreSQL Flexible almacenamiento</t>
        </is>
      </c>
      <c r="C10" s="2" t="n">
        <v>0.1205</v>
      </c>
      <c r="D10" s="2" t="inlineStr">
        <is>
          <t>EUR/GB-mes</t>
        </is>
      </c>
      <c r="E10" s="2" t="inlineStr">
        <is>
          <t>westeurope</t>
        </is>
      </c>
    </row>
    <row r="11">
      <c r="A11" s="2" t="inlineStr">
        <is>
          <t>p_blob_hot</t>
        </is>
      </c>
      <c r="B11" s="2" t="inlineStr">
        <is>
          <t>Blob Hot LRS</t>
        </is>
      </c>
      <c r="C11" s="2" t="n">
        <v>0.0172</v>
      </c>
      <c r="D11" s="2" t="inlineStr">
        <is>
          <t>EUR/GB-mes</t>
        </is>
      </c>
      <c r="E11" s="2" t="inlineStr">
        <is>
          <t>westeurope</t>
        </is>
      </c>
    </row>
    <row r="12">
      <c r="A12" s="2" t="inlineStr">
        <is>
          <t>p_blob_archive</t>
        </is>
      </c>
      <c r="B12" s="2" t="inlineStr">
        <is>
          <t>Blob Archive LRS</t>
        </is>
      </c>
      <c r="C12" s="2" t="n">
        <v>0.0016</v>
      </c>
      <c r="D12" s="2" t="inlineStr">
        <is>
          <t>EUR/GB-mes</t>
        </is>
      </c>
      <c r="E12" s="2" t="inlineStr">
        <is>
          <t>westeurope</t>
        </is>
      </c>
    </row>
    <row r="13">
      <c r="A13" s="2" t="inlineStr">
        <is>
          <t>p_acr_basic</t>
        </is>
      </c>
      <c r="B13" s="2" t="inlineStr">
        <is>
          <t>Container Registry Basic</t>
        </is>
      </c>
      <c r="C13" s="2" t="n">
        <v>0.1466</v>
      </c>
      <c r="D13" s="2" t="inlineStr">
        <is>
          <t>EUR/día</t>
        </is>
      </c>
      <c r="E13" s="2" t="inlineStr">
        <is>
          <t>westeurope</t>
        </is>
      </c>
    </row>
    <row r="14">
      <c r="A14" s="2" t="inlineStr">
        <is>
          <t>p_logs</t>
        </is>
      </c>
      <c r="B14" s="2" t="inlineStr">
        <is>
          <t>Log Analytics ingesta</t>
        </is>
      </c>
      <c r="C14" s="2" t="n">
        <v>2.6311</v>
      </c>
      <c r="D14" s="2" t="inlineStr">
        <is>
          <t>EUR/GB</t>
        </is>
      </c>
      <c r="E14" s="2" t="inlineStr">
        <is>
          <t>westeurope</t>
        </is>
      </c>
    </row>
    <row r="15">
      <c r="A15" s="2" t="inlineStr">
        <is>
          <t>p_kv_ops</t>
        </is>
      </c>
      <c r="B15" s="2" t="inlineStr">
        <is>
          <t>Key Vault operaciones</t>
        </is>
      </c>
      <c r="C15" s="2" t="n">
        <v>0.0264</v>
      </c>
      <c r="D15" s="2" t="inlineStr">
        <is>
          <t>EUR/10K</t>
        </is>
      </c>
      <c r="E15" s="2" t="inlineStr">
        <is>
          <t>westeurope</t>
        </is>
      </c>
    </row>
    <row r="16">
      <c r="A16" s="2" t="inlineStr">
        <is>
          <t>p_vm_d4</t>
        </is>
      </c>
      <c r="B16" s="2" t="inlineStr">
        <is>
          <t>VM D4s v5 (entrenamiento)</t>
        </is>
      </c>
      <c r="C16" s="2" t="n">
        <v>0.2024</v>
      </c>
      <c r="D16" s="2" t="inlineStr">
        <is>
          <t>EUR/h</t>
        </is>
      </c>
      <c r="E16" s="2" t="inlineStr">
        <is>
          <t>westeurope</t>
        </is>
      </c>
    </row>
    <row r="17">
      <c r="A17" s="2" t="inlineStr">
        <is>
          <t>p_search_basic</t>
        </is>
      </c>
      <c r="B17" s="2" t="inlineStr">
        <is>
          <t>Azure AI Search Basic (alternativa)</t>
        </is>
      </c>
      <c r="C17" s="2" t="n">
        <v>0.08890000000000001</v>
      </c>
      <c r="D17" s="2" t="inlineStr">
        <is>
          <t>EUR/h</t>
        </is>
      </c>
      <c r="E17" s="2" t="inlineStr">
        <is>
          <t>westeurope</t>
        </is>
      </c>
    </row>
    <row r="18">
      <c r="A18" s="2" t="n"/>
      <c r="B18" s="2" t="n"/>
      <c r="C18" s="2" t="n"/>
      <c r="D18" s="2" t="n"/>
      <c r="E18" s="2" t="n"/>
    </row>
    <row r="19">
      <c r="A19" s="2" t="inlineStr"/>
      <c r="B19" s="2" t="inlineStr">
        <is>
          <t>Fuente: API pública de precios de Azure (prices.azure.com), EUR, consulta del 27 oct 2026.</t>
        </is>
      </c>
      <c r="C19" s="2" t="n"/>
      <c r="D19" s="2" t="n"/>
      <c r="E1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70" customWidth="1" min="5" max="5"/>
  </cols>
  <sheetData>
    <row r="1">
      <c r="A1" s="1" t="inlineStr">
        <is>
          <t>Capa</t>
        </is>
      </c>
      <c r="B1" s="1" t="inlineStr">
        <is>
          <t>Servicio</t>
        </is>
      </c>
      <c r="C1" s="1" t="inlineStr">
        <is>
          <t>Cálculo</t>
        </is>
      </c>
      <c r="D1" s="1" t="inlineStr">
        <is>
          <t>EUR/mes</t>
        </is>
      </c>
      <c r="E1" s="1" t="inlineStr">
        <is>
          <t>Por qué este servicio</t>
        </is>
      </c>
    </row>
    <row r="2">
      <c r="A2" s="2" t="inlineStr">
        <is>
          <t>Planta</t>
        </is>
      </c>
      <c r="B2" s="2" t="inlineStr">
        <is>
          <t>Azure IoT Edge en PC industrial</t>
        </is>
      </c>
      <c r="C2" s="2" t="inlineStr">
        <is>
          <t>Amortización del PC por estación</t>
        </is>
      </c>
      <c r="D2" s="2">
        <f>Supuestos!$C$22/Supuestos!$C$23*Supuestos!$C$2</f>
        <v/>
      </c>
      <c r="E2" s="2" t="inlineStr">
        <is>
          <t>Inferencia junto al robot: sin latencia de red y la línea sigue si cae internet</t>
        </is>
      </c>
    </row>
    <row r="3">
      <c r="A3" s="2" t="inlineStr">
        <is>
          <t>Planta</t>
        </is>
      </c>
      <c r="B3" s="2" t="inlineStr">
        <is>
          <t>IoT Hub S1</t>
        </is>
      </c>
      <c r="C3" s="2" t="inlineStr">
        <is>
          <t>1 unidad</t>
        </is>
      </c>
      <c r="D3" s="2">
        <f>Precios!$C$2</f>
        <v/>
      </c>
      <c r="E3" s="2" t="inlineStr">
        <is>
          <t>Telemetría, comandos y despliegue del contenedor al edge</t>
        </is>
      </c>
    </row>
    <row r="4">
      <c r="A4" s="2" t="inlineStr">
        <is>
          <t>Asistente</t>
        </is>
      </c>
      <c r="B4" s="2" t="inlineStr">
        <is>
          <t>Container Apps (agente)</t>
        </is>
      </c>
      <c r="C4" s="2" t="inlineStr">
        <is>
          <t>vCPU y memoria 24x7, plan Dedicated (cota superior)</t>
        </is>
      </c>
      <c r="D4" s="2">
        <f>(Supuestos!$C$17*Precios!$C$3+Supuestos!$C$18*Precios!$C$4+Precios!$C$5)*730</f>
        <v/>
      </c>
      <c r="E4" s="2" t="inlineStr">
        <is>
          <t>Sin clúster que operar; escala con eventos</t>
        </is>
      </c>
    </row>
    <row r="5">
      <c r="A5" s="2" t="inlineStr">
        <is>
          <t>Asistente</t>
        </is>
      </c>
      <c r="B5" s="2" t="inlineStr">
        <is>
          <t>Azure OpenAI gpt-4.1-mini</t>
        </is>
      </c>
      <c r="C5" s="2" t="inlineStr">
        <is>
          <t>consultas x 30 x tokens x precio</t>
        </is>
      </c>
      <c r="D5" s="2">
        <f>Supuestos!$C$10*30*(Supuestos!$C$11*(1-Supuestos!$C$13)*Precios!$C$6+Supuestos!$C$11*Supuestos!$C$13*Precios!$C$7+Supuestos!$C$12*Precios!$C$8)/1000</f>
        <v/>
      </c>
      <c r="E5" s="2" t="inlineStr">
        <is>
          <t>Residencia de datos en la UE y red privada</t>
        </is>
      </c>
    </row>
    <row r="6">
      <c r="A6" s="2" t="inlineStr">
        <is>
          <t>Datos</t>
        </is>
      </c>
      <c r="B6" s="2" t="inlineStr">
        <is>
          <t>PostgreSQL Flexible B1MS</t>
        </is>
      </c>
      <c r="C6" s="2" t="inlineStr">
        <is>
          <t>cómputo 730 h + almacenamiento</t>
        </is>
      </c>
      <c r="D6" s="2">
        <f>Precios!$C$9*730+Supuestos!$C$14*Precios!$C$10</f>
        <v/>
      </c>
      <c r="E6" s="2" t="inlineStr">
        <is>
          <t>Casos, tickets, auditoría y búsqueda en SOP con pgvector</t>
        </is>
      </c>
    </row>
    <row r="7">
      <c r="A7" s="2" t="inlineStr">
        <is>
          <t>Datos</t>
        </is>
      </c>
      <c r="B7" s="2" t="inlineStr">
        <is>
          <t>Blob Storage (imágenes)</t>
        </is>
      </c>
      <c r="C7" s="2" t="inlineStr">
        <is>
          <t>GB en caliente (3 meses) + archivo</t>
        </is>
      </c>
      <c r="D7" s="2">
        <f>(Supuestos!$C$3*60*Supuestos!$C$4*Supuestos!$C$5*Supuestos!$C$2)*Supuestos!$C$6/1048576*(Supuestos!$C$7*Precios!$C$11+Precios!$C$12*12)</f>
        <v/>
      </c>
      <c r="E7" s="2" t="inlineStr">
        <is>
          <t>Niveles caliente y archivo con reglas de ciclo de vida</t>
        </is>
      </c>
    </row>
    <row r="8">
      <c r="A8" s="2" t="inlineStr">
        <is>
          <t>ML</t>
        </is>
      </c>
      <c r="B8" s="2" t="inlineStr">
        <is>
          <t>Azure Machine Learning (cómputo)</t>
        </is>
      </c>
      <c r="C8" s="2" t="inlineStr">
        <is>
          <t>horas de entrenamiento D4s v5</t>
        </is>
      </c>
      <c r="D8" s="2">
        <f>Supuestos!$C$16*Precios!$C$16</f>
        <v/>
      </c>
      <c r="E8" s="2" t="inlineStr">
        <is>
          <t>Lee MLflow; registro de modelos y despliegue al edge</t>
        </is>
      </c>
    </row>
    <row r="9">
      <c r="A9" s="2" t="inlineStr">
        <is>
          <t>Plataforma</t>
        </is>
      </c>
      <c r="B9" s="2" t="inlineStr">
        <is>
          <t>Container Registry Basic</t>
        </is>
      </c>
      <c r="C9" s="2" t="inlineStr">
        <is>
          <t>30 días</t>
        </is>
      </c>
      <c r="D9" s="2">
        <f>30*Precios!$C$13</f>
        <v/>
      </c>
      <c r="E9" s="2" t="inlineStr">
        <is>
          <t>Imágenes de visión y agente</t>
        </is>
      </c>
    </row>
    <row r="10">
      <c r="A10" s="2" t="inlineStr">
        <is>
          <t>Plataforma</t>
        </is>
      </c>
      <c r="B10" s="2" t="inlineStr">
        <is>
          <t>Key Vault</t>
        </is>
      </c>
      <c r="C10" s="2" t="inlineStr">
        <is>
          <t>≈100K operaciones</t>
        </is>
      </c>
      <c r="D10" s="2">
        <f>10*Precios!$C$15</f>
        <v/>
      </c>
      <c r="E10" s="2" t="inlineStr">
        <is>
          <t>Secretos con identidades administradas</t>
        </is>
      </c>
    </row>
    <row r="11">
      <c r="A11" s="2" t="inlineStr">
        <is>
          <t>Plataforma</t>
        </is>
      </c>
      <c r="B11" s="2" t="inlineStr">
        <is>
          <t>Log Analytics / App Insights</t>
        </is>
      </c>
      <c r="C11" s="2" t="inlineStr">
        <is>
          <t>GB de logs</t>
        </is>
      </c>
      <c r="D11" s="2">
        <f>Supuestos!$C$15*Precios!$C$14</f>
        <v/>
      </c>
      <c r="E11" s="2" t="inlineStr">
        <is>
          <t>Trazas del agente, tokens y latencia</t>
        </is>
      </c>
    </row>
    <row r="12">
      <c r="A12" s="2" t="n"/>
      <c r="B12" s="2" t="n"/>
      <c r="C12" s="2" t="n"/>
      <c r="D12" s="2" t="n"/>
      <c r="E12" s="2" t="n"/>
    </row>
    <row r="13">
      <c r="A13" s="2" t="inlineStr"/>
      <c r="B13" s="4" t="inlineStr">
        <is>
          <t>Total Azure + edge</t>
        </is>
      </c>
      <c r="C13" s="2" t="inlineStr"/>
      <c r="D13" s="4">
        <f>SUM(D2:D11)</f>
        <v/>
      </c>
      <c r="E13" s="2" t="inlineStr"/>
    </row>
    <row r="14">
      <c r="A14" s="2" t="n"/>
      <c r="B14" s="2" t="n"/>
      <c r="C14" s="2" t="n"/>
      <c r="D14" s="2" t="n"/>
      <c r="E14" s="2" t="n"/>
    </row>
    <row r="15">
      <c r="A15" s="2" t="inlineStr">
        <is>
          <t>Alternativa</t>
        </is>
      </c>
      <c r="B15" s="2" t="inlineStr">
        <is>
          <t>Azure AI Search Basic</t>
        </is>
      </c>
      <c r="C15" s="2" t="inlineStr">
        <is>
          <t>730 h</t>
        </is>
      </c>
      <c r="D15" s="2">
        <f>Precios!$C$17*730</f>
        <v/>
      </c>
      <c r="E15" s="2" t="inlineStr">
        <is>
          <t>No incluida: coste fijo alto para decenas de SOP; usar cuando crezca el corpus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Concepto</t>
        </is>
      </c>
      <c r="B1" s="1" t="inlineStr">
        <is>
          <t>EUR/mes</t>
        </is>
      </c>
      <c r="C1" s="1" t="inlineStr">
        <is>
          <t>Nota</t>
        </is>
      </c>
    </row>
    <row r="2">
      <c r="A2" s="2" t="inlineStr">
        <is>
          <t>Operación actual: operarios de alineación</t>
        </is>
      </c>
      <c r="B2" s="2">
        <f>Supuestos!$C$19*Supuestos!$C$2*Supuestos!$C$20/12</f>
        <v/>
      </c>
      <c r="C2" s="2" t="inlineStr">
        <is>
          <t>3 turnos x 1 operario por estación</t>
        </is>
      </c>
    </row>
    <row r="3">
      <c r="A3" s="2" t="inlineStr">
        <is>
          <t>Sistema: Azure + edge</t>
        </is>
      </c>
      <c r="B3" s="2">
        <f>Costos_Azure!$D$13</f>
        <v/>
      </c>
      <c r="C3" s="2" t="inlineStr">
        <is>
          <t>Hoja Costos_Azure</t>
        </is>
      </c>
    </row>
    <row r="4">
      <c r="A4" s="2" t="inlineStr">
        <is>
          <t>Sistema: personas en revisión manual (horas)</t>
        </is>
      </c>
      <c r="B4" s="2">
        <f>(Supuestos!$C$3*60*Supuestos!$C$4*Supuestos!$C$5*Supuestos!$C$2)*Supuestos!$C$8*Supuestos!$C$9/3600</f>
        <v/>
      </c>
      <c r="C4" s="2" t="inlineStr">
        <is>
          <t>Horas al mes de revisión de desvíos</t>
        </is>
      </c>
    </row>
    <row r="5">
      <c r="A5" s="2" t="inlineStr">
        <is>
          <t>Sistema: coste de revisión manual</t>
        </is>
      </c>
      <c r="B5" s="2">
        <f>B4/Supuestos!$C$21*Supuestos!$C$20/12</f>
        <v/>
      </c>
      <c r="C5" s="2" t="inlineStr">
        <is>
          <t>Horas convertidas a personas a tiempo completo</t>
        </is>
      </c>
    </row>
    <row r="6">
      <c r="A6" s="2" t="inlineStr">
        <is>
          <t>Sistema: total</t>
        </is>
      </c>
      <c r="B6" s="2">
        <f>B3+B5</f>
        <v/>
      </c>
      <c r="C6" s="2" t="inlineStr"/>
    </row>
    <row r="7">
      <c r="A7" s="2" t="inlineStr">
        <is>
          <t>Ahorro mensual</t>
        </is>
      </c>
      <c r="B7" s="2">
        <f>B2-B6</f>
        <v/>
      </c>
      <c r="C7" s="2" t="inlineStr"/>
    </row>
    <row r="8">
      <c r="A8" s="2" t="inlineStr">
        <is>
          <t>Meses para recuperar la implantación</t>
        </is>
      </c>
      <c r="B8" s="2">
        <f>IF(B7&gt;0,Supuestos!$C$24/B7,"no se recupera")</f>
        <v/>
      </c>
      <c r="C8" s="2" t="inlineStr">
        <is>
          <t>Supuesto de implantación en Supuestos</t>
        </is>
      </c>
    </row>
    <row r="9">
      <c r="A9" s="2" t="n"/>
      <c r="B9" s="2" t="n"/>
      <c r="C9" s="2" t="n"/>
    </row>
    <row r="10">
      <c r="A10" s="2" t="inlineStr">
        <is>
          <t>Lectura</t>
        </is>
      </c>
      <c r="B10" s="2" t="inlineStr"/>
      <c r="C10" s="2" t="inlineStr">
        <is>
          <t>Si la tasa de desvío sube, crece la revisión manual: es la palanca principal del caso de negocio.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2026-10-27T09:29:42Z</dcterms:created>
  <dcterms:modified xsi:type="dcterms:W3CDTF">2026-10-27T09:29:42Z</dcterms:modified>
</cp:coreProperties>
</file>